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cid\Desktop\PWMPRUEBA\"/>
    </mc:Choice>
  </mc:AlternateContent>
  <xr:revisionPtr revIDLastSave="0" documentId="13_ncr:1_{2A4780ED-4C29-4ACE-92D4-3648E6457D0D}" xr6:coauthVersionLast="47" xr6:coauthVersionMax="47" xr10:uidLastSave="{00000000-0000-0000-0000-000000000000}"/>
  <bookViews>
    <workbookView xWindow="-108" yWindow="-108" windowWidth="23256" windowHeight="12456" xr2:uid="{FBC5C426-AC52-46CE-8D6A-9B45F7CA27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/>
  <c r="I14" i="1"/>
  <c r="J13" i="1"/>
  <c r="K13" i="1" s="1"/>
  <c r="G10" i="1"/>
  <c r="H10" i="1" s="1"/>
  <c r="D8" i="1"/>
  <c r="E8" i="1" s="1"/>
  <c r="G8" i="1" s="1"/>
  <c r="G14" i="1" l="1"/>
  <c r="H8" i="1"/>
</calcChain>
</file>

<file path=xl/sharedStrings.xml><?xml version="1.0" encoding="utf-8"?>
<sst xmlns="http://schemas.openxmlformats.org/spreadsheetml/2006/main" count="20" uniqueCount="16">
  <si>
    <t>Frecuencia(Mhz)</t>
  </si>
  <si>
    <t>Ciclo (ns)</t>
  </si>
  <si>
    <t>Tiempo Deseado</t>
  </si>
  <si>
    <t>Ciclo (us)</t>
  </si>
  <si>
    <t>Frecuencia Deseada</t>
  </si>
  <si>
    <t>PREESCALADOR(-1)</t>
  </si>
  <si>
    <t>Contador               (PRESCALAODR)</t>
  </si>
  <si>
    <t>16 BITS</t>
  </si>
  <si>
    <t xml:space="preserve">CICLO UTIL </t>
  </si>
  <si>
    <t>TIEMPO MUERTO</t>
  </si>
  <si>
    <t>%</t>
  </si>
  <si>
    <t>Tiempo (ms)</t>
  </si>
  <si>
    <t>Tiempo (us)</t>
  </si>
  <si>
    <t>VALOR</t>
  </si>
  <si>
    <t>us</t>
  </si>
  <si>
    <t xml:space="preserve">Registro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</si>
</sst>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/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1" fillId="0" borderId="0" xfId="0" applyFont="1"/>
    <xf numFmtId="0" fontId="5" fillId="0" borderId="0" xfId="0" applyFont="1" applyAlignment="1">
      <alignment horizontal="right"/>
    </xf>
    <xf numFmtId="1" fontId="3" fillId="0" borderId="1" xfId="0" applyNumberFormat="1" applyFont="1" applyBorder="1"/>
    <xf numFmtId="3" fontId="8" fillId="0" borderId="1" xfId="0" applyNumberFormat="1" applyFont="1" applyBorder="1"/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0" fontId="6" fillId="5" borderId="1" xfId="0" applyFont="1" applyFill="1" applyBorder="1"/>
    <xf numFmtId="0" fontId="0" fillId="5" borderId="1" xfId="0" applyFill="1" applyBorder="1"/>
    <xf numFmtId="0" fontId="10" fillId="4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3998-C011-4E5B-BA43-CEFDA2F3F103}">
  <dimension ref="C6:K16"/>
  <sheetViews>
    <sheetView tabSelected="1" topLeftCell="B1" zoomScale="127" workbookViewId="0">
      <selection activeCell="K16" sqref="K16"/>
    </sheetView>
  </sheetViews>
  <sheetFormatPr baseColWidth="10" defaultRowHeight="14.4" x14ac:dyDescent="0.3"/>
  <cols>
    <col min="3" max="3" width="27.33203125" customWidth="1"/>
    <col min="4" max="4" width="14" customWidth="1"/>
    <col min="6" max="6" width="19.88671875" customWidth="1"/>
    <col min="7" max="7" width="17.88671875" customWidth="1"/>
    <col min="8" max="8" width="22.6640625" customWidth="1"/>
  </cols>
  <sheetData>
    <row r="6" spans="3:11" x14ac:dyDescent="0.3">
      <c r="F6" s="9" t="s">
        <v>7</v>
      </c>
      <c r="G6" s="10">
        <v>65535</v>
      </c>
      <c r="H6" s="10">
        <v>65535</v>
      </c>
    </row>
    <row r="7" spans="3:11" x14ac:dyDescent="0.3">
      <c r="C7" s="12" t="s">
        <v>0</v>
      </c>
      <c r="D7" s="12" t="s">
        <v>3</v>
      </c>
      <c r="E7" s="12" t="s">
        <v>1</v>
      </c>
      <c r="F7" s="12" t="s">
        <v>2</v>
      </c>
      <c r="G7" s="25" t="s">
        <v>6</v>
      </c>
      <c r="H7" s="25"/>
    </row>
    <row r="8" spans="3:11" ht="18" x14ac:dyDescent="0.35">
      <c r="C8" s="1">
        <v>84</v>
      </c>
      <c r="D8" s="2">
        <f>1/C8</f>
        <v>1.1904761904761904E-2</v>
      </c>
      <c r="E8" s="2">
        <f>D8*1000</f>
        <v>11.904761904761903</v>
      </c>
      <c r="F8" s="11">
        <v>0.02</v>
      </c>
      <c r="G8" s="8">
        <f>F8/(E8*0.000000001)</f>
        <v>1680000.0000000002</v>
      </c>
      <c r="H8" s="14">
        <f>G8/C10</f>
        <v>840000.00000000012</v>
      </c>
    </row>
    <row r="9" spans="3:11" x14ac:dyDescent="0.3">
      <c r="C9" s="13" t="s">
        <v>5</v>
      </c>
      <c r="F9" s="13" t="s">
        <v>4</v>
      </c>
      <c r="G9" s="24" t="s">
        <v>15</v>
      </c>
      <c r="H9" s="24"/>
    </row>
    <row r="10" spans="3:11" ht="18" x14ac:dyDescent="0.35">
      <c r="C10" s="7">
        <v>2</v>
      </c>
      <c r="F10" s="7">
        <v>100000</v>
      </c>
      <c r="G10" s="8">
        <f>C8*1000000/F10</f>
        <v>840</v>
      </c>
      <c r="H10" s="14">
        <f>G10/C10</f>
        <v>420</v>
      </c>
    </row>
    <row r="11" spans="3:11" x14ac:dyDescent="0.3">
      <c r="E11" s="3"/>
      <c r="F11" s="3"/>
    </row>
    <row r="12" spans="3:11" x14ac:dyDescent="0.3">
      <c r="C12" s="4"/>
      <c r="D12" s="5"/>
      <c r="G12" s="15" t="s">
        <v>10</v>
      </c>
      <c r="I12" s="15" t="s">
        <v>10</v>
      </c>
      <c r="J12" s="22" t="s">
        <v>11</v>
      </c>
      <c r="K12" s="22" t="s">
        <v>12</v>
      </c>
    </row>
    <row r="13" spans="3:11" x14ac:dyDescent="0.3">
      <c r="C13" s="4"/>
      <c r="D13" s="5"/>
      <c r="F13" s="15" t="s">
        <v>8</v>
      </c>
      <c r="G13" s="16">
        <v>45</v>
      </c>
      <c r="H13" s="18" t="s">
        <v>9</v>
      </c>
      <c r="I13" s="16">
        <v>10</v>
      </c>
      <c r="J13" s="20">
        <f>1000*I13/(100*F10)</f>
        <v>1E-3</v>
      </c>
      <c r="K13" s="21">
        <f>J13*1000</f>
        <v>1</v>
      </c>
    </row>
    <row r="14" spans="3:11" ht="18" x14ac:dyDescent="0.3">
      <c r="D14" s="6"/>
      <c r="E14" s="5"/>
      <c r="F14" s="18" t="s">
        <v>13</v>
      </c>
      <c r="G14" s="17">
        <f>G13*H10/100</f>
        <v>189</v>
      </c>
      <c r="H14" s="18" t="s">
        <v>13</v>
      </c>
      <c r="I14" s="19">
        <f>I13*H10/50</f>
        <v>84</v>
      </c>
    </row>
    <row r="15" spans="3:11" x14ac:dyDescent="0.3">
      <c r="I15" s="15" t="s">
        <v>14</v>
      </c>
    </row>
    <row r="16" spans="3:11" x14ac:dyDescent="0.3">
      <c r="H16" s="18" t="s">
        <v>9</v>
      </c>
      <c r="I16" s="16">
        <v>1</v>
      </c>
      <c r="J16" s="18" t="s">
        <v>13</v>
      </c>
      <c r="K16" s="23">
        <f>I16*0.000001*H10*F10*2</f>
        <v>83.999999999999986</v>
      </c>
    </row>
  </sheetData>
  <mergeCells count="2">
    <mergeCell ref="G9:H9"/>
    <mergeCell ref="G7: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Alcides Ramos</dc:creator>
  <cp:lastModifiedBy>Alcides Ramos Zambrano</cp:lastModifiedBy>
  <dcterms:created xsi:type="dcterms:W3CDTF">2021-10-22T02:30:13Z</dcterms:created>
  <dcterms:modified xsi:type="dcterms:W3CDTF">2024-07-09T02:59:37Z</dcterms:modified>
</cp:coreProperties>
</file>